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veendran\investData\"/>
    </mc:Choice>
  </mc:AlternateContent>
  <bookViews>
    <workbookView xWindow="0" yWindow="0" windowWidth="27570" windowHeight="10785"/>
  </bookViews>
  <sheets>
    <sheet name="Asse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E24" i="1"/>
  <c r="I23" i="1"/>
  <c r="E23" i="1"/>
  <c r="G21" i="1"/>
  <c r="I21" i="1" s="1"/>
  <c r="E21" i="1"/>
  <c r="I20" i="1"/>
  <c r="E20" i="1"/>
  <c r="I19" i="1"/>
  <c r="E19" i="1"/>
  <c r="I10" i="1"/>
  <c r="F10" i="1"/>
  <c r="E10" i="1"/>
  <c r="I9" i="1"/>
  <c r="E9" i="1"/>
  <c r="I8" i="1"/>
  <c r="E8" i="1"/>
  <c r="I7" i="1"/>
  <c r="E7" i="1"/>
  <c r="I6" i="1"/>
  <c r="E6" i="1"/>
  <c r="I5" i="1"/>
  <c r="E5" i="1"/>
  <c r="I4" i="1"/>
  <c r="E4" i="1"/>
  <c r="I3" i="1"/>
  <c r="E3" i="1"/>
  <c r="I2" i="1"/>
  <c r="E2" i="1"/>
</calcChain>
</file>

<file path=xl/sharedStrings.xml><?xml version="1.0" encoding="utf-8"?>
<sst xmlns="http://schemas.openxmlformats.org/spreadsheetml/2006/main" count="104" uniqueCount="52">
  <si>
    <t>Asset Type</t>
  </si>
  <si>
    <t xml:space="preserve">Asset Catogry </t>
  </si>
  <si>
    <t>Asset Sub Catogry</t>
  </si>
  <si>
    <t>Asset Name</t>
  </si>
  <si>
    <t>Amount Invested</t>
  </si>
  <si>
    <t>Inv Unit Value</t>
  </si>
  <si>
    <t xml:space="preserve">Unit </t>
  </si>
  <si>
    <t>Current Unit Value</t>
  </si>
  <si>
    <t>Current Asset Value</t>
  </si>
  <si>
    <t>Traditional Asset Classes</t>
  </si>
  <si>
    <t>Equities (Stocks)</t>
  </si>
  <si>
    <t>Adani Ports</t>
  </si>
  <si>
    <t>Tata Motors - Passenger</t>
  </si>
  <si>
    <t>Tata Motors</t>
  </si>
  <si>
    <t>Tata Motors- Commercial</t>
  </si>
  <si>
    <t>SBI</t>
  </si>
  <si>
    <t>Suzlon</t>
  </si>
  <si>
    <t>VIDEOCON INDUSTRIES LIMITED</t>
  </si>
  <si>
    <t>Hybrid Asset Classes</t>
  </si>
  <si>
    <t>Balanced Mutual Funds</t>
  </si>
  <si>
    <t>Bajaj Finserv MFH</t>
  </si>
  <si>
    <t>Bajaj Finserv Multi Asset Allocation Fund - Regular Plan
- Growth</t>
  </si>
  <si>
    <t>Equities (MF)</t>
  </si>
  <si>
    <t>Tata MFH</t>
  </si>
  <si>
    <t>Tata Nifty500 Multicap Infrastructure 50:30:20 Index Fund Regular Plan Growth</t>
  </si>
  <si>
    <t>UTI MFH</t>
  </si>
  <si>
    <t xml:space="preserve">UTI Nifty200 Quality 30 Index Fund - Regular Plan </t>
  </si>
  <si>
    <t>Fixed Income (Bonds)</t>
  </si>
  <si>
    <t>PPF</t>
  </si>
  <si>
    <t>AC No: 7633315651 (116171)</t>
  </si>
  <si>
    <t>AC No: 7633315682 (116170)</t>
  </si>
  <si>
    <t>Cash and Cash Equivalents</t>
  </si>
  <si>
    <t>FD</t>
  </si>
  <si>
    <t>Axix FD</t>
  </si>
  <si>
    <t>RD</t>
  </si>
  <si>
    <t>Axix RD</t>
  </si>
  <si>
    <t>Kotak FD</t>
  </si>
  <si>
    <t>SBI AC</t>
  </si>
  <si>
    <t>Cash</t>
  </si>
  <si>
    <t>CUB</t>
  </si>
  <si>
    <t>Alternative Asset Classes</t>
  </si>
  <si>
    <t>Real Estate</t>
  </si>
  <si>
    <t>Land</t>
  </si>
  <si>
    <t>Padalam</t>
  </si>
  <si>
    <t>Selam Land</t>
  </si>
  <si>
    <t>V SQUARE</t>
  </si>
  <si>
    <t>Kum Land</t>
  </si>
  <si>
    <t>Commodities</t>
  </si>
  <si>
    <t>Gold</t>
  </si>
  <si>
    <t>Silver</t>
  </si>
  <si>
    <t>Private Equity</t>
  </si>
  <si>
    <t>NonForNow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</si>
</sst>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2" fontId="2" fillId="0" borderId="1" xfId="1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I8" sqref="I8"/>
    </sheetView>
  </sheetViews>
  <sheetFormatPr defaultRowHeight="15" x14ac:dyDescent="0.25"/>
  <cols>
    <col min="1" max="1" width="23.140625" bestFit="1" customWidth="1"/>
    <col min="2" max="2" width="15.7109375" bestFit="1" customWidth="1"/>
    <col min="3" max="3" width="22.42578125" bestFit="1" customWidth="1"/>
    <col min="4" max="4" width="11.5703125" bestFit="1" customWidth="1"/>
    <col min="5" max="5" width="16.42578125" bestFit="1" customWidth="1"/>
    <col min="6" max="6" width="13.7109375" bestFit="1" customWidth="1"/>
    <col min="7" max="7" width="5.28515625" customWidth="1"/>
    <col min="8" max="8" width="17.85546875" bestFit="1" customWidth="1"/>
    <col min="9" max="9" width="19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11</v>
      </c>
      <c r="E2" s="4">
        <f>F2*G2</f>
        <v>55000</v>
      </c>
      <c r="F2" s="4">
        <v>1100</v>
      </c>
      <c r="G2" s="3">
        <v>50</v>
      </c>
      <c r="H2" s="3">
        <v>1696</v>
      </c>
      <c r="I2" s="4">
        <f>G2*H2</f>
        <v>84800</v>
      </c>
    </row>
    <row r="3" spans="1:9" x14ac:dyDescent="0.25">
      <c r="A3" s="3" t="s">
        <v>9</v>
      </c>
      <c r="B3" s="3" t="s">
        <v>10</v>
      </c>
      <c r="C3" s="3" t="s">
        <v>12</v>
      </c>
      <c r="D3" s="3" t="s">
        <v>13</v>
      </c>
      <c r="E3" s="4">
        <f t="shared" ref="E3:E9" si="0">F3*G3</f>
        <v>85800</v>
      </c>
      <c r="F3" s="4">
        <v>429</v>
      </c>
      <c r="G3" s="3">
        <v>200</v>
      </c>
      <c r="H3" s="3">
        <v>340</v>
      </c>
      <c r="I3" s="4">
        <f t="shared" ref="I3:I10" si="1">G3*H3</f>
        <v>68000</v>
      </c>
    </row>
    <row r="4" spans="1:9" x14ac:dyDescent="0.25">
      <c r="A4" s="3" t="s">
        <v>9</v>
      </c>
      <c r="B4" s="3" t="s">
        <v>10</v>
      </c>
      <c r="C4" s="3" t="s">
        <v>14</v>
      </c>
      <c r="D4" s="3" t="s">
        <v>13</v>
      </c>
      <c r="E4" s="4">
        <f t="shared" si="0"/>
        <v>23000</v>
      </c>
      <c r="F4" s="4">
        <v>230</v>
      </c>
      <c r="G4" s="3">
        <v>100</v>
      </c>
      <c r="H4" s="3">
        <v>437</v>
      </c>
      <c r="I4" s="4">
        <f t="shared" si="1"/>
        <v>43700</v>
      </c>
    </row>
    <row r="5" spans="1:9" x14ac:dyDescent="0.25">
      <c r="A5" s="3" t="s">
        <v>9</v>
      </c>
      <c r="B5" s="3" t="s">
        <v>10</v>
      </c>
      <c r="C5" s="3" t="s">
        <v>15</v>
      </c>
      <c r="D5" s="3" t="s">
        <v>15</v>
      </c>
      <c r="E5" s="4">
        <f t="shared" si="0"/>
        <v>37800</v>
      </c>
      <c r="F5" s="4">
        <v>756</v>
      </c>
      <c r="G5" s="3">
        <v>50</v>
      </c>
      <c r="H5" s="3">
        <v>1027</v>
      </c>
      <c r="I5" s="4">
        <f t="shared" si="1"/>
        <v>51350</v>
      </c>
    </row>
    <row r="6" spans="1:9" x14ac:dyDescent="0.25">
      <c r="A6" s="3" t="s">
        <v>9</v>
      </c>
      <c r="B6" s="3" t="s">
        <v>10</v>
      </c>
      <c r="C6" s="3" t="s">
        <v>16</v>
      </c>
      <c r="D6" s="3" t="s">
        <v>16</v>
      </c>
      <c r="E6" s="4">
        <f t="shared" si="0"/>
        <v>25350</v>
      </c>
      <c r="F6" s="4">
        <v>50.7</v>
      </c>
      <c r="G6" s="3">
        <v>500</v>
      </c>
      <c r="H6" s="3">
        <v>48</v>
      </c>
      <c r="I6" s="4">
        <f t="shared" si="1"/>
        <v>24000</v>
      </c>
    </row>
    <row r="7" spans="1:9" x14ac:dyDescent="0.25">
      <c r="A7" s="3" t="s">
        <v>9</v>
      </c>
      <c r="B7" s="3" t="s">
        <v>10</v>
      </c>
      <c r="C7" s="3" t="s">
        <v>17</v>
      </c>
      <c r="D7" s="3" t="s">
        <v>17</v>
      </c>
      <c r="E7" s="4">
        <f t="shared" si="0"/>
        <v>1057.5</v>
      </c>
      <c r="F7" s="4">
        <v>7.05</v>
      </c>
      <c r="G7" s="3">
        <v>150</v>
      </c>
      <c r="H7" s="3">
        <v>0</v>
      </c>
      <c r="I7" s="4">
        <f t="shared" si="1"/>
        <v>0</v>
      </c>
    </row>
    <row r="8" spans="1:9" ht="135" x14ac:dyDescent="0.25">
      <c r="A8" s="3" t="s">
        <v>18</v>
      </c>
      <c r="B8" s="3" t="s">
        <v>19</v>
      </c>
      <c r="C8" s="5" t="s">
        <v>20</v>
      </c>
      <c r="D8" s="5" t="s">
        <v>21</v>
      </c>
      <c r="E8" s="4">
        <f t="shared" si="0"/>
        <v>12499.380000000001</v>
      </c>
      <c r="F8" s="4">
        <v>10</v>
      </c>
      <c r="G8" s="6">
        <v>1249.9380000000001</v>
      </c>
      <c r="H8" s="3">
        <v>11.88</v>
      </c>
      <c r="I8" s="4">
        <f t="shared" si="1"/>
        <v>14849.263440000002</v>
      </c>
    </row>
    <row r="9" spans="1:9" ht="165" x14ac:dyDescent="0.25">
      <c r="A9" s="3" t="s">
        <v>9</v>
      </c>
      <c r="B9" s="3" t="s">
        <v>22</v>
      </c>
      <c r="C9" s="5" t="s">
        <v>23</v>
      </c>
      <c r="D9" s="5" t="s">
        <v>24</v>
      </c>
      <c r="E9" s="4">
        <f t="shared" si="0"/>
        <v>4999.9999875000003</v>
      </c>
      <c r="F9" s="4">
        <v>10.000500000000001</v>
      </c>
      <c r="G9" s="3">
        <v>499.97500000000002</v>
      </c>
      <c r="H9" s="4">
        <v>11.05</v>
      </c>
      <c r="I9" s="4">
        <f t="shared" si="1"/>
        <v>5524.723750000001</v>
      </c>
    </row>
    <row r="10" spans="1:9" ht="105" x14ac:dyDescent="0.25">
      <c r="A10" s="3" t="s">
        <v>9</v>
      </c>
      <c r="B10" s="3" t="s">
        <v>22</v>
      </c>
      <c r="C10" s="5" t="s">
        <v>25</v>
      </c>
      <c r="D10" s="5" t="s">
        <v>26</v>
      </c>
      <c r="E10" s="4">
        <f>F10*G10</f>
        <v>117999.99999999999</v>
      </c>
      <c r="F10" s="4">
        <f>118000/G10</f>
        <v>8.7758441172095782</v>
      </c>
      <c r="G10" s="6">
        <v>13446</v>
      </c>
      <c r="H10" s="4">
        <v>8.99</v>
      </c>
      <c r="I10" s="4">
        <f t="shared" si="1"/>
        <v>120879.54000000001</v>
      </c>
    </row>
    <row r="11" spans="1:9" x14ac:dyDescent="0.25">
      <c r="A11" s="3" t="s">
        <v>9</v>
      </c>
      <c r="B11" s="3" t="s">
        <v>27</v>
      </c>
      <c r="C11" s="3" t="s">
        <v>28</v>
      </c>
      <c r="D11" s="3" t="s">
        <v>29</v>
      </c>
      <c r="E11" s="4">
        <v>220000</v>
      </c>
      <c r="F11" s="4"/>
      <c r="G11" s="3"/>
      <c r="H11" s="4"/>
      <c r="I11" s="7">
        <v>225000</v>
      </c>
    </row>
    <row r="12" spans="1:9" x14ac:dyDescent="0.25">
      <c r="A12" s="3" t="s">
        <v>9</v>
      </c>
      <c r="B12" s="3" t="s">
        <v>27</v>
      </c>
      <c r="C12" s="3" t="s">
        <v>28</v>
      </c>
      <c r="D12" s="3" t="s">
        <v>30</v>
      </c>
      <c r="E12" s="4">
        <v>225000</v>
      </c>
      <c r="F12" s="4"/>
      <c r="G12" s="3"/>
      <c r="H12" s="4"/>
      <c r="I12" s="7">
        <v>235000</v>
      </c>
    </row>
    <row r="13" spans="1:9" x14ac:dyDescent="0.25">
      <c r="A13" s="3" t="s">
        <v>9</v>
      </c>
      <c r="B13" s="3" t="s">
        <v>31</v>
      </c>
      <c r="C13" s="3" t="s">
        <v>32</v>
      </c>
      <c r="D13" s="3" t="s">
        <v>33</v>
      </c>
      <c r="E13" s="4">
        <v>100000</v>
      </c>
      <c r="F13" s="4"/>
      <c r="G13" s="3"/>
      <c r="H13" s="4"/>
      <c r="I13" s="7">
        <v>106000</v>
      </c>
    </row>
    <row r="14" spans="1:9" x14ac:dyDescent="0.25">
      <c r="A14" s="3" t="s">
        <v>9</v>
      </c>
      <c r="B14" s="3" t="s">
        <v>31</v>
      </c>
      <c r="C14" s="3" t="s">
        <v>34</v>
      </c>
      <c r="D14" s="3" t="s">
        <v>35</v>
      </c>
      <c r="E14" s="4">
        <v>75000</v>
      </c>
      <c r="F14" s="4"/>
      <c r="G14" s="3"/>
      <c r="H14" s="4"/>
      <c r="I14" s="7">
        <v>75000</v>
      </c>
    </row>
    <row r="15" spans="1:9" x14ac:dyDescent="0.25">
      <c r="A15" s="3" t="s">
        <v>9</v>
      </c>
      <c r="B15" s="3" t="s">
        <v>31</v>
      </c>
      <c r="C15" s="3" t="s">
        <v>32</v>
      </c>
      <c r="D15" s="3" t="s">
        <v>36</v>
      </c>
      <c r="E15" s="4">
        <v>100000</v>
      </c>
      <c r="F15" s="4"/>
      <c r="G15" s="3"/>
      <c r="H15" s="4"/>
      <c r="I15" s="7">
        <v>107000</v>
      </c>
    </row>
    <row r="16" spans="1:9" x14ac:dyDescent="0.25">
      <c r="A16" s="3" t="s">
        <v>9</v>
      </c>
      <c r="B16" s="3" t="s">
        <v>31</v>
      </c>
      <c r="C16" s="3" t="s">
        <v>32</v>
      </c>
      <c r="D16" s="3" t="s">
        <v>37</v>
      </c>
      <c r="E16" s="4">
        <v>500000</v>
      </c>
      <c r="F16" s="4"/>
      <c r="G16" s="3"/>
      <c r="H16" s="4"/>
      <c r="I16" s="7">
        <v>505000</v>
      </c>
    </row>
    <row r="17" spans="1:9" x14ac:dyDescent="0.25">
      <c r="A17" s="3" t="s">
        <v>9</v>
      </c>
      <c r="B17" s="3" t="s">
        <v>31</v>
      </c>
      <c r="C17" s="3" t="s">
        <v>38</v>
      </c>
      <c r="D17" s="3" t="s">
        <v>37</v>
      </c>
      <c r="E17" s="4">
        <v>250000</v>
      </c>
      <c r="F17" s="4"/>
      <c r="G17" s="3"/>
      <c r="H17" s="4"/>
      <c r="I17" s="7">
        <v>255000</v>
      </c>
    </row>
    <row r="18" spans="1:9" x14ac:dyDescent="0.25">
      <c r="A18" s="3" t="s">
        <v>9</v>
      </c>
      <c r="B18" s="3" t="s">
        <v>31</v>
      </c>
      <c r="C18" s="3" t="s">
        <v>38</v>
      </c>
      <c r="D18" s="3" t="s">
        <v>39</v>
      </c>
      <c r="E18" s="4">
        <v>335000</v>
      </c>
      <c r="F18" s="4"/>
      <c r="G18" s="3"/>
      <c r="H18" s="4"/>
      <c r="I18" s="7">
        <v>380000</v>
      </c>
    </row>
    <row r="19" spans="1:9" x14ac:dyDescent="0.25">
      <c r="A19" s="3" t="s">
        <v>40</v>
      </c>
      <c r="B19" s="3" t="s">
        <v>41</v>
      </c>
      <c r="C19" s="3" t="s">
        <v>42</v>
      </c>
      <c r="D19" s="3" t="s">
        <v>43</v>
      </c>
      <c r="E19" s="4">
        <f>G19*F19</f>
        <v>580000</v>
      </c>
      <c r="F19" s="4">
        <v>290</v>
      </c>
      <c r="G19" s="3">
        <v>2000</v>
      </c>
      <c r="H19" s="4">
        <v>400</v>
      </c>
      <c r="I19" s="7">
        <f>G19*H19</f>
        <v>800000</v>
      </c>
    </row>
    <row r="20" spans="1:9" x14ac:dyDescent="0.25">
      <c r="A20" s="3" t="s">
        <v>40</v>
      </c>
      <c r="B20" s="3" t="s">
        <v>41</v>
      </c>
      <c r="C20" s="3" t="s">
        <v>42</v>
      </c>
      <c r="D20" s="3" t="s">
        <v>44</v>
      </c>
      <c r="E20" s="4">
        <f>G20*F20</f>
        <v>4560000</v>
      </c>
      <c r="F20" s="4">
        <v>1900</v>
      </c>
      <c r="G20" s="3">
        <v>2400</v>
      </c>
      <c r="H20" s="4">
        <v>2300</v>
      </c>
      <c r="I20" s="7">
        <f>G20*H20</f>
        <v>5520000</v>
      </c>
    </row>
    <row r="21" spans="1:9" x14ac:dyDescent="0.25">
      <c r="A21" s="3" t="s">
        <v>40</v>
      </c>
      <c r="B21" s="3" t="s">
        <v>41</v>
      </c>
      <c r="C21" s="3" t="s">
        <v>42</v>
      </c>
      <c r="D21" s="3" t="s">
        <v>45</v>
      </c>
      <c r="E21" s="4">
        <f>G21*F21</f>
        <v>2047500</v>
      </c>
      <c r="F21" s="4">
        <v>2100</v>
      </c>
      <c r="G21" s="3">
        <f>3900/4</f>
        <v>975</v>
      </c>
      <c r="H21" s="4">
        <v>2200</v>
      </c>
      <c r="I21" s="7">
        <f>H21*G21</f>
        <v>2145000</v>
      </c>
    </row>
    <row r="22" spans="1:9" x14ac:dyDescent="0.25">
      <c r="A22" s="3" t="s">
        <v>40</v>
      </c>
      <c r="B22" s="3" t="s">
        <v>41</v>
      </c>
      <c r="C22" s="3" t="s">
        <v>42</v>
      </c>
      <c r="D22" s="3" t="s">
        <v>46</v>
      </c>
      <c r="E22" s="4">
        <v>2800000</v>
      </c>
      <c r="F22" s="4"/>
      <c r="G22" s="3"/>
      <c r="H22" s="4"/>
      <c r="I22" s="7">
        <v>3500000</v>
      </c>
    </row>
    <row r="23" spans="1:9" x14ac:dyDescent="0.25">
      <c r="A23" s="3" t="s">
        <v>40</v>
      </c>
      <c r="B23" s="3" t="s">
        <v>47</v>
      </c>
      <c r="C23" s="3" t="s">
        <v>48</v>
      </c>
      <c r="D23" s="3" t="s">
        <v>48</v>
      </c>
      <c r="E23" s="4">
        <f>(((80*270)*23.5))+(((24*533)*26))</f>
        <v>840192</v>
      </c>
      <c r="F23" s="4"/>
      <c r="G23" s="3"/>
      <c r="H23" s="4"/>
      <c r="I23" s="7">
        <f>((80+24)*483)*26</f>
        <v>1306032</v>
      </c>
    </row>
    <row r="24" spans="1:9" x14ac:dyDescent="0.25">
      <c r="A24" s="3" t="s">
        <v>40</v>
      </c>
      <c r="B24" s="3" t="s">
        <v>47</v>
      </c>
      <c r="C24" s="3" t="s">
        <v>49</v>
      </c>
      <c r="D24" s="3" t="s">
        <v>49</v>
      </c>
      <c r="E24" s="4">
        <f>F24*G24</f>
        <v>1</v>
      </c>
      <c r="F24" s="4">
        <v>1</v>
      </c>
      <c r="G24" s="3">
        <v>1</v>
      </c>
      <c r="H24" s="4">
        <v>1</v>
      </c>
      <c r="I24" s="7">
        <f>H24*G24</f>
        <v>1</v>
      </c>
    </row>
    <row r="25" spans="1:9" x14ac:dyDescent="0.25">
      <c r="A25" s="3" t="s">
        <v>40</v>
      </c>
      <c r="B25" s="3" t="s">
        <v>50</v>
      </c>
      <c r="C25" s="3" t="s">
        <v>51</v>
      </c>
      <c r="D25" s="3"/>
      <c r="E25" s="4">
        <v>1</v>
      </c>
      <c r="F25" s="4"/>
      <c r="G25" s="3"/>
      <c r="H25" s="4"/>
      <c r="I25" s="7">
        <v>1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2026-08-17T18:04:47Z</dcterms:created>
  <dcterms:modified xsi:type="dcterms:W3CDTF">2026-08-17T18:11:01Z</dcterms:modified>
</cp:coreProperties>
</file>